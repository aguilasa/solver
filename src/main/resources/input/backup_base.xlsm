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ingmar.aguiar\Documents\GitHub\solver\src\main\resources\input\"/>
    </mc:Choice>
  </mc:AlternateContent>
  <xr:revisionPtr revIDLastSave="0" documentId="8_{9C8D04D7-2BB5-4173-B306-20F4013080CB}" xr6:coauthVersionLast="43" xr6:coauthVersionMax="43" xr10:uidLastSave="{00000000-0000-0000-0000-000000000000}"/>
  <bookViews>
    <workbookView xWindow="28680" yWindow="-120" windowWidth="29040" windowHeight="15840" activeTab="2" xr2:uid="{00000000-000D-0000-FFFF-FFFF00000000}"/>
  </bookViews>
  <sheets>
    <sheet name="Planilha1" sheetId="1" r:id="rId1"/>
    <sheet name="Planilha2" sheetId="2" r:id="rId2"/>
    <sheet name="Planilha3" sheetId="3" r:id="rId3"/>
  </sheets>
  <definedNames>
    <definedName name="solver_adj" localSheetId="0" hidden="1">Planilha1!$C$3:$C$4</definedName>
    <definedName name="solver_adj" localSheetId="1" hidden="1">Planilha2!$B$3:$B$4</definedName>
    <definedName name="solver_adj" localSheetId="2" hidden="1">Planilha3!$B$3:$B$4</definedName>
    <definedName name="solver_cvg" localSheetId="0" hidden="1">0.0001</definedName>
    <definedName name="solver_cvg" localSheetId="1" hidden="1">0.0001</definedName>
    <definedName name="solver_cvg" localSheetId="2" hidden="1">0.0001</definedName>
    <definedName name="solver_drv" localSheetId="0" hidden="1">1</definedName>
    <definedName name="solver_drv" localSheetId="1" hidden="1">1</definedName>
    <definedName name="solver_drv" localSheetId="2" hidden="1">1</definedName>
    <definedName name="solver_eng" localSheetId="0" hidden="1">2</definedName>
    <definedName name="solver_eng" localSheetId="1" hidden="1">2</definedName>
    <definedName name="solver_eng" localSheetId="2" hidden="1">2</definedName>
    <definedName name="solver_est" localSheetId="0" hidden="1">1</definedName>
    <definedName name="solver_est" localSheetId="1" hidden="1">1</definedName>
    <definedName name="solver_est" localSheetId="2" hidden="1">1</definedName>
    <definedName name="solver_itr" localSheetId="0" hidden="1">2147483647</definedName>
    <definedName name="solver_itr" localSheetId="1" hidden="1">2147483647</definedName>
    <definedName name="solver_itr" localSheetId="2" hidden="1">2147483647</definedName>
    <definedName name="solver_lhs1" localSheetId="0" hidden="1">Planilha1!$C$10</definedName>
    <definedName name="solver_lhs1" localSheetId="1" hidden="1">Planilha2!$B$9</definedName>
    <definedName name="solver_lhs1" localSheetId="2" hidden="1">Planilha3!$B$9</definedName>
    <definedName name="solver_lhs2" localSheetId="0" hidden="1">Planilha1!$C$11</definedName>
    <definedName name="solver_lhs2" localSheetId="1" hidden="1">Planilha2!$B$10</definedName>
    <definedName name="solver_lhs2" localSheetId="2" hidden="1">Planilha3!$B$10</definedName>
    <definedName name="solver_lhs3" localSheetId="0" hidden="1">Planilha1!$C$12</definedName>
    <definedName name="solver_lhs3" localSheetId="1" hidden="1">Planilha2!$B$11</definedName>
    <definedName name="solver_lhs3" localSheetId="2" hidden="1">Planilha3!$B$11</definedName>
    <definedName name="solver_lhs4" localSheetId="0" hidden="1">Planilha1!$C$9</definedName>
    <definedName name="solver_lhs4" localSheetId="1" hidden="1">Planilha2!$B$12</definedName>
    <definedName name="solver_lhs4" localSheetId="2" hidden="1">Planilha3!$B$12</definedName>
    <definedName name="solver_lhs5" localSheetId="1" hidden="1">Planilha2!$B$13</definedName>
    <definedName name="solver_mip" localSheetId="0" hidden="1">2147483647</definedName>
    <definedName name="solver_mip" localSheetId="1" hidden="1">2147483647</definedName>
    <definedName name="solver_mip" localSheetId="2" hidden="1">2147483647</definedName>
    <definedName name="solver_mni" localSheetId="0" hidden="1">30</definedName>
    <definedName name="solver_mni" localSheetId="1" hidden="1">30</definedName>
    <definedName name="solver_mni" localSheetId="2" hidden="1">30</definedName>
    <definedName name="solver_mrt" localSheetId="0" hidden="1">0.075</definedName>
    <definedName name="solver_mrt" localSheetId="1" hidden="1">0.075</definedName>
    <definedName name="solver_mrt" localSheetId="2" hidden="1">0.075</definedName>
    <definedName name="solver_msl" localSheetId="0" hidden="1">2</definedName>
    <definedName name="solver_msl" localSheetId="1" hidden="1">2</definedName>
    <definedName name="solver_msl" localSheetId="2" hidden="1">2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od" localSheetId="0" hidden="1">2147483647</definedName>
    <definedName name="solver_nod" localSheetId="1" hidden="1">2147483647</definedName>
    <definedName name="solver_nod" localSheetId="2" hidden="1">2147483647</definedName>
    <definedName name="solver_num" localSheetId="0" hidden="1">4</definedName>
    <definedName name="solver_num" localSheetId="1" hidden="1">5</definedName>
    <definedName name="solver_num" localSheetId="2" hidden="1">4</definedName>
    <definedName name="solver_nwt" localSheetId="0" hidden="1">1</definedName>
    <definedName name="solver_nwt" localSheetId="1" hidden="1">1</definedName>
    <definedName name="solver_nwt" localSheetId="2" hidden="1">1</definedName>
    <definedName name="solver_opt" localSheetId="0" hidden="1">Planilha1!$C$6</definedName>
    <definedName name="solver_opt" localSheetId="1" hidden="1">Planilha2!$B$6</definedName>
    <definedName name="solver_opt" localSheetId="2" hidden="1">Planilha3!$B$6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rbv" localSheetId="0" hidden="1">1</definedName>
    <definedName name="solver_rbv" localSheetId="1" hidden="1">1</definedName>
    <definedName name="solver_rbv" localSheetId="2" hidden="1">1</definedName>
    <definedName name="solver_rel1" localSheetId="0" hidden="1">1</definedName>
    <definedName name="solver_rel1" localSheetId="1" hidden="1">3</definedName>
    <definedName name="solver_rel1" localSheetId="2" hidden="1">3</definedName>
    <definedName name="solver_rel2" localSheetId="0" hidden="1">3</definedName>
    <definedName name="solver_rel2" localSheetId="1" hidden="1">3</definedName>
    <definedName name="solver_rel2" localSheetId="2" hidden="1">2</definedName>
    <definedName name="solver_rel3" localSheetId="0" hidden="1">3</definedName>
    <definedName name="solver_rel3" localSheetId="1" hidden="1">3</definedName>
    <definedName name="solver_rel3" localSheetId="2" hidden="1">3</definedName>
    <definedName name="solver_rel4" localSheetId="0" hidden="1">1</definedName>
    <definedName name="solver_rel4" localSheetId="1" hidden="1">3</definedName>
    <definedName name="solver_rel4" localSheetId="2" hidden="1">3</definedName>
    <definedName name="solver_rel5" localSheetId="1" hidden="1">3</definedName>
    <definedName name="solver_rhs1" localSheetId="0" hidden="1">Planilha1!$E$10</definedName>
    <definedName name="solver_rhs1" localSheetId="1" hidden="1">Planilha2!$D$9</definedName>
    <definedName name="solver_rhs1" localSheetId="2" hidden="1">Planilha3!$D$9</definedName>
    <definedName name="solver_rhs2" localSheetId="0" hidden="1">Planilha1!$E$11</definedName>
    <definedName name="solver_rhs2" localSheetId="1" hidden="1">Planilha2!$D$10</definedName>
    <definedName name="solver_rhs2" localSheetId="2" hidden="1">Planilha3!$D$10</definedName>
    <definedName name="solver_rhs3" localSheetId="0" hidden="1">Planilha1!$E$12</definedName>
    <definedName name="solver_rhs3" localSheetId="1" hidden="1">Planilha2!$D$11</definedName>
    <definedName name="solver_rhs3" localSheetId="2" hidden="1">Planilha3!$D$11</definedName>
    <definedName name="solver_rhs4" localSheetId="0" hidden="1">Planilha1!$E$9</definedName>
    <definedName name="solver_rhs4" localSheetId="1" hidden="1">Planilha2!$D$12</definedName>
    <definedName name="solver_rhs4" localSheetId="2" hidden="1">Planilha3!$D$12</definedName>
    <definedName name="solver_rhs5" localSheetId="1" hidden="1">Planilha2!$D$13</definedName>
    <definedName name="solver_rlx" localSheetId="0" hidden="1">2</definedName>
    <definedName name="solver_rlx" localSheetId="1" hidden="1">2</definedName>
    <definedName name="solver_rlx" localSheetId="2" hidden="1">2</definedName>
    <definedName name="solver_rsd" localSheetId="0" hidden="1">0</definedName>
    <definedName name="solver_rsd" localSheetId="1" hidden="1">0</definedName>
    <definedName name="solver_rsd" localSheetId="2" hidden="1">0</definedName>
    <definedName name="solver_scl" localSheetId="0" hidden="1">1</definedName>
    <definedName name="solver_scl" localSheetId="1" hidden="1">1</definedName>
    <definedName name="solver_scl" localSheetId="2" hidden="1">1</definedName>
    <definedName name="solver_sho" localSheetId="0" hidden="1">2</definedName>
    <definedName name="solver_sho" localSheetId="1" hidden="1">2</definedName>
    <definedName name="solver_sho" localSheetId="2" hidden="1">2</definedName>
    <definedName name="solver_ssz" localSheetId="0" hidden="1">100</definedName>
    <definedName name="solver_ssz" localSheetId="1" hidden="1">100</definedName>
    <definedName name="solver_ssz" localSheetId="2" hidden="1">100</definedName>
    <definedName name="solver_tim" localSheetId="0" hidden="1">2147483647</definedName>
    <definedName name="solver_tim" localSheetId="1" hidden="1">2147483647</definedName>
    <definedName name="solver_tim" localSheetId="2" hidden="1">2147483647</definedName>
    <definedName name="solver_tol" localSheetId="0" hidden="1">0.01</definedName>
    <definedName name="solver_tol" localSheetId="1" hidden="1">0.01</definedName>
    <definedName name="solver_tol" localSheetId="2" hidden="1">0.01</definedName>
    <definedName name="solver_typ" localSheetId="0" hidden="1">1</definedName>
    <definedName name="solver_typ" localSheetId="1" hidden="1">2</definedName>
    <definedName name="solver_typ" localSheetId="2" hidden="1">1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  <definedName name="solver_ver" localSheetId="1" hidden="1">3</definedName>
    <definedName name="solver_ver" localSheetId="2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3" l="1"/>
  <c r="B11" i="3"/>
  <c r="B10" i="3"/>
  <c r="B9" i="3"/>
  <c r="B6" i="3"/>
  <c r="B11" i="2" l="1"/>
  <c r="B10" i="2"/>
  <c r="B9" i="2"/>
  <c r="B6" i="2"/>
  <c r="B13" i="2"/>
  <c r="B12" i="2"/>
</calcChain>
</file>

<file path=xl/sharedStrings.xml><?xml version="1.0" encoding="utf-8"?>
<sst xmlns="http://schemas.openxmlformats.org/spreadsheetml/2006/main" count="34" uniqueCount="23">
  <si>
    <t>y</t>
  </si>
  <si>
    <t>x</t>
  </si>
  <si>
    <t>Função objetivo</t>
  </si>
  <si>
    <t>Restrições</t>
  </si>
  <si>
    <t>R1</t>
  </si>
  <si>
    <t>R2</t>
  </si>
  <si>
    <t>&gt;=</t>
  </si>
  <si>
    <t>R3</t>
  </si>
  <si>
    <t>Max z = 2x1 + 7x2</t>
  </si>
  <si>
    <t>3x1 + 2x2 &gt;= 20</t>
  </si>
  <si>
    <t>4x2 + 4x2 = 32</t>
  </si>
  <si>
    <t>x1 &gt;= 0</t>
  </si>
  <si>
    <t>x2 &gt;= 0</t>
  </si>
  <si>
    <t>Variáveis</t>
  </si>
  <si>
    <t>x1</t>
  </si>
  <si>
    <t>x2</t>
  </si>
  <si>
    <t>Função Objetivo</t>
  </si>
  <si>
    <t>r1</t>
  </si>
  <si>
    <t>r2</t>
  </si>
  <si>
    <t>=</t>
  </si>
  <si>
    <t>r3</t>
  </si>
  <si>
    <t>r4</t>
  </si>
  <si>
    <t>Máximo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</si>
</sst>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323850</xdr:colOff>
      <xdr:row>2</xdr:row>
      <xdr:rowOff>133350</xdr:rowOff>
    </xdr:from>
    <xdr:to>
      <xdr:col>12</xdr:col>
      <xdr:colOff>257175</xdr:colOff>
      <xdr:row>15</xdr:row>
      <xdr:rowOff>28576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000625" y="323850"/>
          <a:ext cx="2981325" cy="2181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Variáveis:</a:t>
          </a:r>
        </a:p>
        <a:p>
          <a:r>
            <a:rPr lang="pt-BR" sz="1100"/>
            <a:t>Pro</a:t>
          </a:r>
          <a:r>
            <a:rPr lang="pt-BR" sz="1100" baseline="0"/>
            <a:t> A</a:t>
          </a:r>
          <a:r>
            <a:rPr lang="pt-BR" sz="1100"/>
            <a:t>: 	</a:t>
          </a:r>
          <a:r>
            <a:rPr lang="pt-BR" sz="1100" b="1"/>
            <a:t>x</a:t>
          </a:r>
        </a:p>
        <a:p>
          <a:r>
            <a:rPr lang="pt-BR" sz="1100"/>
            <a:t>Pro</a:t>
          </a:r>
          <a:r>
            <a:rPr lang="pt-BR" sz="1100" baseline="0"/>
            <a:t> B</a:t>
          </a:r>
          <a:r>
            <a:rPr lang="pt-BR" sz="1100"/>
            <a:t>:	</a:t>
          </a:r>
          <a:r>
            <a:rPr lang="pt-BR" sz="1100" b="1"/>
            <a:t>y</a:t>
          </a:r>
        </a:p>
        <a:p>
          <a:br>
            <a:rPr lang="pt-BR" sz="1100" b="0"/>
          </a:br>
          <a:r>
            <a:rPr lang="pt-BR" sz="1100" b="0"/>
            <a:t>Restrições:</a:t>
          </a:r>
        </a:p>
        <a:p>
          <a:r>
            <a:rPr lang="pt-BR" sz="1100" b="0"/>
            <a:t>	</a:t>
          </a:r>
          <a:r>
            <a:rPr lang="pt-BR" sz="1100" b="1"/>
            <a:t>3x</a:t>
          </a:r>
          <a:r>
            <a:rPr lang="pt-BR" sz="1100" b="1" baseline="0"/>
            <a:t> + 2y &gt;= 3</a:t>
          </a:r>
          <a:endParaRPr lang="pt-BR" sz="1100" b="0" baseline="0"/>
        </a:p>
        <a:p>
          <a:r>
            <a:rPr lang="pt-BR" sz="1100" b="0"/>
            <a:t>	</a:t>
          </a:r>
          <a:r>
            <a:rPr lang="pt-BR" sz="1100" b="1"/>
            <a:t>1x + 3y &gt;= 1,5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8x + 2y &gt;= 4</a:t>
          </a:r>
          <a:endParaRPr lang="pt-BR">
            <a:effectLst/>
          </a:endParaRPr>
        </a:p>
        <a:p>
          <a:endParaRPr lang="pt-BR" sz="1100" b="0"/>
        </a:p>
        <a:p>
          <a:r>
            <a:rPr lang="pt-BR" sz="1100" b="0"/>
            <a:t>Função Objetivo: </a:t>
          </a:r>
          <a:r>
            <a:rPr lang="pt-BR" sz="1100" b="1"/>
            <a:t>C = 5x + 4y</a:t>
          </a:r>
        </a:p>
        <a:p>
          <a:endParaRPr lang="pt-BR" sz="1100" b="1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Não-Negatividade:  x, y ≥ 0</a:t>
          </a:r>
          <a:endParaRPr lang="pt-BR">
            <a:effectLst/>
          </a:endParaRPr>
        </a:p>
        <a:p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12"/>
  <sheetViews>
    <sheetView workbookViewId="0">
      <selection activeCell="A7" sqref="A7"/>
    </sheetView>
  </sheetViews>
  <sheetFormatPr defaultRowHeight="15" x14ac:dyDescent="0.25"/>
  <cols>
    <col min="1" max="1" width="19.5703125" bestFit="1" customWidth="1"/>
    <col min="2" max="2" width="26.85546875" bestFit="1" customWidth="1"/>
  </cols>
  <sheetData>
    <row r="1" spans="1:3" x14ac:dyDescent="0.25">
      <c r="A1" t="s">
        <v>8</v>
      </c>
    </row>
    <row r="2" spans="1:3" x14ac:dyDescent="0.25">
      <c r="A2" t="s">
        <v>9</v>
      </c>
    </row>
    <row r="3" spans="1:3" x14ac:dyDescent="0.25">
      <c r="A3" t="s">
        <v>10</v>
      </c>
      <c r="B3" s="1"/>
    </row>
    <row r="4" spans="1:3" x14ac:dyDescent="0.25">
      <c r="A4" t="s">
        <v>11</v>
      </c>
      <c r="B4" s="1"/>
    </row>
    <row r="5" spans="1:3" x14ac:dyDescent="0.25">
      <c r="A5" t="s">
        <v>12</v>
      </c>
    </row>
    <row r="8" spans="1:3" x14ac:dyDescent="0.25">
      <c r="B8" s="5"/>
      <c r="C8" s="5"/>
    </row>
    <row r="9" spans="1:3" x14ac:dyDescent="0.25">
      <c r="B9" s="1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</sheetData>
  <mergeCells count="1">
    <mergeCell ref="B8:C8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D13"/>
  <sheetViews>
    <sheetView workbookViewId="0">
      <selection activeCell="B4" sqref="B4"/>
    </sheetView>
  </sheetViews>
  <sheetFormatPr defaultRowHeight="15" x14ac:dyDescent="0.25"/>
  <cols>
    <col min="1" max="2" width="15.28515625" bestFit="1" customWidth="1"/>
  </cols>
  <sheetData>
    <row r="2" spans="1:4" x14ac:dyDescent="0.25">
      <c r="A2" t="s">
        <v>13</v>
      </c>
    </row>
    <row r="3" spans="1:4" x14ac:dyDescent="0.25">
      <c r="A3" s="1" t="s">
        <v>1</v>
      </c>
      <c r="B3" s="2">
        <v>0.85714285714285698</v>
      </c>
    </row>
    <row r="4" spans="1:4" x14ac:dyDescent="0.25">
      <c r="A4" s="1" t="s">
        <v>0</v>
      </c>
      <c r="B4" s="2">
        <v>0.2142857142857143</v>
      </c>
    </row>
    <row r="6" spans="1:4" x14ac:dyDescent="0.25">
      <c r="A6" t="s">
        <v>2</v>
      </c>
      <c r="B6" s="2">
        <f>5*B3+4*B4</f>
        <v>5.1428571428571423</v>
      </c>
      <c r="C6" s="2"/>
    </row>
    <row r="8" spans="1:4" x14ac:dyDescent="0.25">
      <c r="A8" s="4" t="s">
        <v>3</v>
      </c>
      <c r="B8" s="4"/>
    </row>
    <row r="9" spans="1:4" x14ac:dyDescent="0.25">
      <c r="A9" s="1" t="s">
        <v>4</v>
      </c>
      <c r="B9" s="2">
        <f>3*B3+2*B4</f>
        <v>3</v>
      </c>
      <c r="C9" s="4" t="s">
        <v>6</v>
      </c>
      <c r="D9">
        <v>3</v>
      </c>
    </row>
    <row r="10" spans="1:4" x14ac:dyDescent="0.25">
      <c r="A10" s="1" t="s">
        <v>5</v>
      </c>
      <c r="B10" s="2">
        <f>1*B3+3*B4</f>
        <v>1.5</v>
      </c>
      <c r="C10" s="4" t="s">
        <v>6</v>
      </c>
      <c r="D10">
        <v>1.5</v>
      </c>
    </row>
    <row r="11" spans="1:4" x14ac:dyDescent="0.25">
      <c r="A11" s="1" t="s">
        <v>7</v>
      </c>
      <c r="B11" s="2">
        <f>8*B3+2*B4</f>
        <v>7.2857142857142847</v>
      </c>
      <c r="C11" s="4" t="s">
        <v>6</v>
      </c>
      <c r="D11">
        <v>4</v>
      </c>
    </row>
    <row r="12" spans="1:4" x14ac:dyDescent="0.25">
      <c r="A12" s="1" t="s">
        <v>1</v>
      </c>
      <c r="B12" s="2">
        <f>B3</f>
        <v>0.85714285714285698</v>
      </c>
      <c r="C12" s="4" t="s">
        <v>6</v>
      </c>
      <c r="D12">
        <v>0</v>
      </c>
    </row>
    <row r="13" spans="1:4" x14ac:dyDescent="0.25">
      <c r="A13" s="1" t="s">
        <v>0</v>
      </c>
      <c r="B13" s="2">
        <f>B4</f>
        <v>0.2142857142857143</v>
      </c>
      <c r="C13" s="4" t="s">
        <v>6</v>
      </c>
      <c r="D13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68A7A-31FC-41A7-965B-E18A811FD0F5}">
  <sheetPr codeName="Planilha3"/>
  <dimension ref="A1:D19"/>
  <sheetViews>
    <sheetView tabSelected="1" workbookViewId="0">
      <selection activeCell="H13" sqref="H13"/>
    </sheetView>
  </sheetViews>
  <sheetFormatPr defaultRowHeight="15" x14ac:dyDescent="0.25"/>
  <cols>
    <col min="1" max="1" width="15.42578125" customWidth="1"/>
  </cols>
  <sheetData>
    <row r="1" spans="1:4" x14ac:dyDescent="0.25">
      <c r="A1" t="s">
        <v>22</v>
      </c>
    </row>
    <row r="2" spans="1:4" x14ac:dyDescent="0.25">
      <c r="A2" s="6" t="s">
        <v>13</v>
      </c>
    </row>
    <row r="3" spans="1:4" x14ac:dyDescent="0.25">
      <c r="A3" s="1" t="s">
        <v>14</v>
      </c>
      <c r="B3" s="1">
        <v>3.9999999999999982</v>
      </c>
    </row>
    <row r="4" spans="1:4" x14ac:dyDescent="0.25">
      <c r="A4" s="1" t="s">
        <v>15</v>
      </c>
      <c r="B4" s="1">
        <v>4.0000000000000018</v>
      </c>
    </row>
    <row r="6" spans="1:4" x14ac:dyDescent="0.25">
      <c r="A6" s="7" t="s">
        <v>16</v>
      </c>
      <c r="B6">
        <f>2*B3+7*B4</f>
        <v>36.000000000000014</v>
      </c>
    </row>
    <row r="8" spans="1:4" x14ac:dyDescent="0.25">
      <c r="A8" s="7" t="s">
        <v>3</v>
      </c>
    </row>
    <row r="9" spans="1:4" x14ac:dyDescent="0.25">
      <c r="A9" s="1" t="s">
        <v>17</v>
      </c>
      <c r="B9" s="1">
        <f>3*B3+2*B4</f>
        <v>20</v>
      </c>
      <c r="C9" s="3" t="s">
        <v>6</v>
      </c>
      <c r="D9" s="1">
        <v>20</v>
      </c>
    </row>
    <row r="10" spans="1:4" x14ac:dyDescent="0.25">
      <c r="A10" s="1" t="s">
        <v>18</v>
      </c>
      <c r="B10" s="1">
        <f>4*B3+4*B4</f>
        <v>32</v>
      </c>
      <c r="C10" s="3" t="s">
        <v>19</v>
      </c>
      <c r="D10" s="1">
        <v>32</v>
      </c>
    </row>
    <row r="11" spans="1:4" x14ac:dyDescent="0.25">
      <c r="A11" s="1" t="s">
        <v>20</v>
      </c>
      <c r="B11" s="1">
        <f>B3</f>
        <v>3.9999999999999982</v>
      </c>
      <c r="C11" s="3" t="s">
        <v>6</v>
      </c>
      <c r="D11">
        <v>0</v>
      </c>
    </row>
    <row r="12" spans="1:4" x14ac:dyDescent="0.25">
      <c r="A12" s="1" t="s">
        <v>21</v>
      </c>
      <c r="B12" s="1">
        <f>B4</f>
        <v>4.0000000000000018</v>
      </c>
      <c r="C12" s="3" t="s">
        <v>6</v>
      </c>
      <c r="D12">
        <v>0</v>
      </c>
    </row>
    <row r="13" spans="1:4" x14ac:dyDescent="0.25">
      <c r="A13" s="1"/>
      <c r="B13" s="1"/>
      <c r="C13" s="3"/>
    </row>
    <row r="14" spans="1:4" x14ac:dyDescent="0.25">
      <c r="A14" s="1"/>
      <c r="B14" s="1"/>
      <c r="C14" s="3"/>
    </row>
    <row r="15" spans="1:4" x14ac:dyDescent="0.25">
      <c r="A15" s="1"/>
      <c r="B15" s="1"/>
      <c r="C15" s="3"/>
    </row>
    <row r="16" spans="1:4" x14ac:dyDescent="0.25">
      <c r="B16" s="1"/>
      <c r="C16" s="3"/>
    </row>
    <row r="17" spans="2:3" x14ac:dyDescent="0.25">
      <c r="B17" s="1"/>
      <c r="C17" s="3"/>
    </row>
    <row r="18" spans="2:3" x14ac:dyDescent="0.25">
      <c r="B18" s="1"/>
      <c r="C18" s="3"/>
    </row>
    <row r="19" spans="2:3" x14ac:dyDescent="0.25">
      <c r="B19" s="1"/>
      <c r="C19" s="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Ingmar Aguiar</dc:creator>
  <cp:lastModifiedBy>Ingmar Aguiar</cp:lastModifiedBy>
  <dcterms:created xsi:type="dcterms:W3CDTF">2019-04-29T11:14:11Z</dcterms:created>
  <dcterms:modified xsi:type="dcterms:W3CDTF">2019-05-08T19:15:33Z</dcterms:modified>
</cp:coreProperties>
</file>