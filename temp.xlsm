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ingmar.aguiar\Documents\GitHub\solver\"/>
    </mc:Choice>
  </mc:AlternateContent>
  <xr:revisionPtr revIDLastSave="0" documentId="13_ncr:1_{E1ACC5C3-134B-46A7-A201-2E4B646F11F9}" xr6:coauthVersionLast="43" xr6:coauthVersionMax="43" xr10:uidLastSave="{00000000-0000-0000-0000-000000000000}"/>
  <bookViews>
    <workbookView xWindow="28680" yWindow="-120" windowWidth="29040" windowHeight="15840" activeTab="2" xr2:uid="{00000000-000D-0000-FFFF-FFFF00000000}"/>
  </bookViews>
  <sheets>
    <sheet name="Problema1" sheetId="5" r:id="rId1"/>
    <sheet name="Problema2" sheetId="6" r:id="rId2"/>
    <sheet name="Problema3" sheetId="7" r:id="rId3"/>
    <sheet name="Problema4" sheetId="8" r:id="rId4"/>
    <sheet name="Problema5" sheetId="9" r:id="rId5"/>
  </sheets>
  <definedNames>
    <definedName name="solver_adj" localSheetId="0" hidden="1">Problema1!$B$3:$B$4</definedName>
    <definedName name="solver_adj" localSheetId="1" hidden="1">Problema2!$B$3:$B$4</definedName>
    <definedName name="solver_adj" localSheetId="2" hidden="1">Problema3!$B$3:$B$4</definedName>
    <definedName name="solver_adj" localSheetId="3" hidden="1">Problema4!$B$3:$B$4</definedName>
    <definedName name="solver_adj" localSheetId="4" hidden="1">Problema5!$B$3:$B$4</definedName>
    <definedName name="solver_cvg" localSheetId="2" hidden="1">0.0001</definedName>
    <definedName name="solver_drv" localSheetId="2" hidden="1">1</definedName>
    <definedName name="solver_eng" localSheetId="0" hidden="1">2</definedName>
    <definedName name="solver_eng" localSheetId="1" hidden="1">2</definedName>
    <definedName name="solver_eng" localSheetId="2" hidden="1">2</definedName>
    <definedName name="solver_eng" localSheetId="3" hidden="1">2</definedName>
    <definedName name="solver_eng" localSheetId="4" hidden="1">2</definedName>
    <definedName name="solver_est" localSheetId="2" hidden="1">1</definedName>
    <definedName name="solver_itr" localSheetId="2" hidden="1">2147483647</definedName>
    <definedName name="solver_lhs1" localSheetId="0" hidden="1">Problema1!$B$9</definedName>
    <definedName name="solver_lhs1" localSheetId="1" hidden="1">Problema2!$B$9</definedName>
    <definedName name="solver_lhs1" localSheetId="2" hidden="1">Problema3!$B$10</definedName>
    <definedName name="solver_lhs1" localSheetId="3" hidden="1">Problema4!$B$9</definedName>
    <definedName name="solver_lhs1" localSheetId="4" hidden="1">Problema5!$B$9</definedName>
    <definedName name="solver_lhs2" localSheetId="0" hidden="1">Problema1!$B$10</definedName>
    <definedName name="solver_lhs2" localSheetId="1" hidden="1">Problema2!$B$10</definedName>
    <definedName name="solver_lhs2" localSheetId="2" hidden="1">Problema3!$B$11</definedName>
    <definedName name="solver_lhs2" localSheetId="3" hidden="1">Problema4!$B$10</definedName>
    <definedName name="solver_lhs2" localSheetId="4" hidden="1">Problema5!$B$10</definedName>
    <definedName name="solver_lhs3" localSheetId="0" hidden="1">Problema1!$B$11</definedName>
    <definedName name="solver_lhs3" localSheetId="1" hidden="1">Problema2!$B$11</definedName>
    <definedName name="solver_lhs3" localSheetId="2" hidden="1">Problema3!$B$12</definedName>
    <definedName name="solver_lhs3" localSheetId="3" hidden="1">Problema4!$B$11</definedName>
    <definedName name="solver_lhs3" localSheetId="4" hidden="1">Problema5!$B$11</definedName>
    <definedName name="solver_lhs4" localSheetId="0" hidden="1">Problema1!$B$12</definedName>
    <definedName name="solver_lhs4" localSheetId="1" hidden="1">Problema2!$B$12</definedName>
    <definedName name="solver_lhs4" localSheetId="2" hidden="1">Problema3!$B$13</definedName>
    <definedName name="solver_lhs4" localSheetId="3" hidden="1">Problema4!$B$12</definedName>
    <definedName name="solver_lhs4" localSheetId="4" hidden="1">Problema5!$B$12</definedName>
    <definedName name="solver_lhs5" localSheetId="2" hidden="1">Problema3!$B$9</definedName>
    <definedName name="solver_lhs5" localSheetId="3" hidden="1">Problema4!$B$13</definedName>
    <definedName name="solver_lhs5" localSheetId="4" hidden="1">Problema5!$B$13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od" localSheetId="2" hidden="1">2147483647</definedName>
    <definedName name="solver_num" localSheetId="0" hidden="1">4</definedName>
    <definedName name="solver_num" localSheetId="1" hidden="1">4</definedName>
    <definedName name="solver_num" localSheetId="2" hidden="1">5</definedName>
    <definedName name="solver_num" localSheetId="3" hidden="1">5</definedName>
    <definedName name="solver_num" localSheetId="4" hidden="1">5</definedName>
    <definedName name="solver_nwt" localSheetId="2" hidden="1">1</definedName>
    <definedName name="solver_opt" localSheetId="0" hidden="1">Problema1!$B$6</definedName>
    <definedName name="solver_opt" localSheetId="1" hidden="1">Problema2!$B$6</definedName>
    <definedName name="solver_opt" localSheetId="2" hidden="1">Problema3!$B$6</definedName>
    <definedName name="solver_opt" localSheetId="3" hidden="1">Problema4!$B$6</definedName>
    <definedName name="solver_opt" localSheetId="4" hidden="1">Problema5!$B$6</definedName>
    <definedName name="solver_pre" localSheetId="2" hidden="1">0.000001</definedName>
    <definedName name="solver_rbv" localSheetId="2" hidden="1">1</definedName>
    <definedName name="solver_rel1" localSheetId="0" hidden="1">3</definedName>
    <definedName name="solver_rel1" localSheetId="1" hidden="1">3</definedName>
    <definedName name="solver_rel1" localSheetId="2" hidden="1">2</definedName>
    <definedName name="solver_rel1" localSheetId="3" hidden="1">1</definedName>
    <definedName name="solver_rel1" localSheetId="4" hidden="1">3</definedName>
    <definedName name="solver_rel2" localSheetId="0" hidden="1">2</definedName>
    <definedName name="solver_rel2" localSheetId="1" hidden="1">1</definedName>
    <definedName name="solver_rel2" localSheetId="2" hidden="1">3</definedName>
    <definedName name="solver_rel2" localSheetId="3" hidden="1">1</definedName>
    <definedName name="solver_rel2" localSheetId="4" hidden="1">2</definedName>
    <definedName name="solver_rel3" localSheetId="0" hidden="1">3</definedName>
    <definedName name="solver_rel3" localSheetId="1" hidden="1">3</definedName>
    <definedName name="solver_rel3" localSheetId="2" hidden="1">3</definedName>
    <definedName name="solver_rel3" localSheetId="3" hidden="1">2</definedName>
    <definedName name="solver_rel3" localSheetId="4" hidden="1">1</definedName>
    <definedName name="solver_rel4" localSheetId="0" hidden="1">3</definedName>
    <definedName name="solver_rel4" localSheetId="1" hidden="1">3</definedName>
    <definedName name="solver_rel4" localSheetId="2" hidden="1">3</definedName>
    <definedName name="solver_rel4" localSheetId="3" hidden="1">3</definedName>
    <definedName name="solver_rel4" localSheetId="4" hidden="1">3</definedName>
    <definedName name="solver_rel5" localSheetId="2" hidden="1">1</definedName>
    <definedName name="solver_rel5" localSheetId="3" hidden="1">3</definedName>
    <definedName name="solver_rel5" localSheetId="4" hidden="1">3</definedName>
    <definedName name="solver_rhs1" localSheetId="0" hidden="1">Problema1!$D$9</definedName>
    <definedName name="solver_rhs1" localSheetId="1" hidden="1">Problema2!$D$9</definedName>
    <definedName name="solver_rhs1" localSheetId="2" hidden="1">Problema3!$D$10</definedName>
    <definedName name="solver_rhs1" localSheetId="3" hidden="1">Problema4!$D$9</definedName>
    <definedName name="solver_rhs1" localSheetId="4" hidden="1">Problema5!$D$9</definedName>
    <definedName name="solver_rhs2" localSheetId="0" hidden="1">Problema1!$D$10</definedName>
    <definedName name="solver_rhs2" localSheetId="1" hidden="1">Problema2!$D$10</definedName>
    <definedName name="solver_rhs2" localSheetId="2" hidden="1">Problema3!$D$11</definedName>
    <definedName name="solver_rhs2" localSheetId="3" hidden="1">Problema4!$D$10</definedName>
    <definedName name="solver_rhs2" localSheetId="4" hidden="1">Problema5!$D$10</definedName>
    <definedName name="solver_rhs3" localSheetId="0" hidden="1">Problema1!$D$11</definedName>
    <definedName name="solver_rhs3" localSheetId="1" hidden="1">Problema2!$D$11</definedName>
    <definedName name="solver_rhs3" localSheetId="2" hidden="1">Problema3!$D$12</definedName>
    <definedName name="solver_rhs3" localSheetId="3" hidden="1">Problema4!$D$11</definedName>
    <definedName name="solver_rhs3" localSheetId="4" hidden="1">Problema5!$D$11</definedName>
    <definedName name="solver_rhs4" localSheetId="0" hidden="1">Problema1!$D$12</definedName>
    <definedName name="solver_rhs4" localSheetId="1" hidden="1">Problema2!$D$12</definedName>
    <definedName name="solver_rhs4" localSheetId="2" hidden="1">Problema3!$D$13</definedName>
    <definedName name="solver_rhs4" localSheetId="3" hidden="1">Problema4!$D$12</definedName>
    <definedName name="solver_rhs4" localSheetId="4" hidden="1">Problema5!$D$12</definedName>
    <definedName name="solver_rhs5" localSheetId="2" hidden="1">Problema3!$D$9</definedName>
    <definedName name="solver_rhs5" localSheetId="3" hidden="1">Problema4!$D$13</definedName>
    <definedName name="solver_rhs5" localSheetId="4" hidden="1">Problema5!$D$13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0" hidden="1">1</definedName>
    <definedName name="solver_typ" localSheetId="1" hidden="1">2</definedName>
    <definedName name="solver_typ" localSheetId="2" hidden="1">2</definedName>
    <definedName name="solver_typ" localSheetId="3" hidden="1">1</definedName>
    <definedName name="solver_typ" localSheetId="4" hidden="1">1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7" l="1"/>
  <c r="B12" i="7"/>
  <c r="B13" i="7"/>
  <c r="B13" i="9" l="1"/>
  <c r="B12" i="9"/>
  <c r="B11" i="9"/>
  <c r="B10" i="9"/>
  <c r="B9" i="9"/>
  <c r="B6" i="9"/>
  <c r="B13" i="8"/>
  <c r="B12" i="8"/>
  <c r="B11" i="8"/>
  <c r="B10" i="8"/>
  <c r="B9" i="8"/>
  <c r="B6" i="8"/>
  <c r="B11" i="7"/>
  <c r="B10" i="7"/>
  <c r="B9" i="7"/>
  <c r="B12" i="6"/>
  <c r="B11" i="6"/>
  <c r="B10" i="6"/>
  <c r="B9" i="6"/>
  <c r="B6" i="6"/>
  <c r="B12" i="5"/>
  <c r="B11" i="5"/>
  <c r="B10" i="5"/>
  <c r="B9" i="5"/>
  <c r="B6" i="5"/>
</calcChain>
</file>

<file path=xl/sharedStrings.xml><?xml version="1.0" encoding="utf-8"?>
<sst xmlns="http://schemas.openxmlformats.org/spreadsheetml/2006/main" count="76" uniqueCount="15">
  <si>
    <t>Máximo</t>
  </si>
  <si>
    <t>Variáveis</t>
  </si>
  <si>
    <t>x1</t>
  </si>
  <si>
    <t>x2</t>
  </si>
  <si>
    <t>Função Objetivo</t>
  </si>
  <si>
    <t>Restrições</t>
  </si>
  <si>
    <t>r1</t>
  </si>
  <si>
    <t>&gt;=</t>
  </si>
  <si>
    <t>r2</t>
  </si>
  <si>
    <t>=</t>
  </si>
  <si>
    <t>r3</t>
  </si>
  <si>
    <t>r4</t>
  </si>
  <si>
    <t>Mínimo</t>
  </si>
  <si>
    <t>&lt;=</t>
  </si>
  <si>
    <t>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</si>
</sst>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12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" t="s">
        <v>0</v>
      </c>
    </row>
    <row r="2" spans="1:4" x14ac:dyDescent="0.25">
      <c r="A2" s="1" t="s">
        <v>1</v>
      </c>
    </row>
    <row r="3" spans="1:4" x14ac:dyDescent="0.25">
      <c r="A3" s="3" t="s">
        <v>2</v>
      </c>
      <c r="B3">
        <v>3.9999999999999991</v>
      </c>
    </row>
    <row r="4" spans="1:4" x14ac:dyDescent="0.25">
      <c r="A4" s="3" t="s">
        <v>3</v>
      </c>
      <c r="B4">
        <v>4.0000000000000009</v>
      </c>
    </row>
    <row r="6" spans="1:4" x14ac:dyDescent="0.25">
      <c r="A6" s="1" t="s">
        <v>4</v>
      </c>
      <c r="B6" s="3">
        <f>2*B3+7*B4</f>
        <v>36.000000000000007</v>
      </c>
    </row>
    <row r="8" spans="1:4" x14ac:dyDescent="0.25">
      <c r="A8" s="2" t="s">
        <v>5</v>
      </c>
    </row>
    <row r="9" spans="1:4" x14ac:dyDescent="0.25">
      <c r="A9" s="3" t="s">
        <v>6</v>
      </c>
      <c r="B9" s="3">
        <f>3*B3+2*B4</f>
        <v>20</v>
      </c>
      <c r="C9" s="2" t="s">
        <v>7</v>
      </c>
      <c r="D9" s="3">
        <v>20</v>
      </c>
    </row>
    <row r="10" spans="1:4" x14ac:dyDescent="0.25">
      <c r="A10" s="3" t="s">
        <v>8</v>
      </c>
      <c r="B10" s="3">
        <f>4*B3+4*B4</f>
        <v>32</v>
      </c>
      <c r="C10" s="2" t="s">
        <v>9</v>
      </c>
      <c r="D10" s="3">
        <v>32</v>
      </c>
    </row>
    <row r="11" spans="1:4" x14ac:dyDescent="0.25">
      <c r="A11" s="3" t="s">
        <v>10</v>
      </c>
      <c r="B11" s="3">
        <f>1*B3</f>
        <v>3.9999999999999991</v>
      </c>
      <c r="C11" s="2" t="s">
        <v>7</v>
      </c>
      <c r="D11" s="3">
        <v>0</v>
      </c>
    </row>
    <row r="12" spans="1:4" x14ac:dyDescent="0.25">
      <c r="A12" s="3" t="s">
        <v>11</v>
      </c>
      <c r="B12" s="3">
        <f>1*B4</f>
        <v>4.0000000000000009</v>
      </c>
      <c r="C12" s="2" t="s">
        <v>7</v>
      </c>
      <c r="D12" s="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12"/>
  <sheetViews>
    <sheetView workbookViewId="0">
      <selection activeCell="E12" sqref="E12"/>
    </sheetView>
  </sheetViews>
  <sheetFormatPr defaultRowHeight="15" x14ac:dyDescent="0.25"/>
  <cols>
    <col min="1" max="1" width="15.5703125" customWidth="1"/>
  </cols>
  <sheetData>
    <row r="1" spans="1:4" x14ac:dyDescent="0.25">
      <c r="A1" s="4" t="s">
        <v>12</v>
      </c>
    </row>
    <row r="2" spans="1:4" x14ac:dyDescent="0.25">
      <c r="A2" s="4" t="s">
        <v>1</v>
      </c>
    </row>
    <row r="3" spans="1:4" x14ac:dyDescent="0.25">
      <c r="A3" s="6" t="s">
        <v>2</v>
      </c>
      <c r="B3">
        <v>2</v>
      </c>
    </row>
    <row r="4" spans="1:4" x14ac:dyDescent="0.25">
      <c r="A4" s="6" t="s">
        <v>3</v>
      </c>
      <c r="B4">
        <v>0</v>
      </c>
    </row>
    <row r="6" spans="1:4" x14ac:dyDescent="0.25">
      <c r="A6" s="4" t="s">
        <v>4</v>
      </c>
      <c r="B6" s="6">
        <f>1*B3+2*B4</f>
        <v>2</v>
      </c>
    </row>
    <row r="8" spans="1:4" x14ac:dyDescent="0.25">
      <c r="A8" s="5" t="s">
        <v>5</v>
      </c>
    </row>
    <row r="9" spans="1:4" x14ac:dyDescent="0.25">
      <c r="A9" s="6" t="s">
        <v>6</v>
      </c>
      <c r="B9" s="6">
        <f>5*B3-5*B4</f>
        <v>10</v>
      </c>
      <c r="C9" s="5" t="s">
        <v>7</v>
      </c>
      <c r="D9" s="6">
        <v>10</v>
      </c>
    </row>
    <row r="10" spans="1:4" x14ac:dyDescent="0.25">
      <c r="A10" s="6" t="s">
        <v>8</v>
      </c>
      <c r="B10" s="6">
        <f>3*B3+1*B4</f>
        <v>6</v>
      </c>
      <c r="C10" s="5" t="s">
        <v>13</v>
      </c>
      <c r="D10" s="6">
        <v>12</v>
      </c>
    </row>
    <row r="11" spans="1:4" x14ac:dyDescent="0.25">
      <c r="A11" s="6" t="s">
        <v>10</v>
      </c>
      <c r="B11" s="6">
        <f>1*B3</f>
        <v>2</v>
      </c>
      <c r="C11" s="5" t="s">
        <v>7</v>
      </c>
      <c r="D11" s="6">
        <v>0</v>
      </c>
    </row>
    <row r="12" spans="1:4" x14ac:dyDescent="0.25">
      <c r="A12" s="6" t="s">
        <v>11</v>
      </c>
      <c r="B12" s="6">
        <f>1*B4</f>
        <v>0</v>
      </c>
      <c r="C12" s="5" t="s">
        <v>7</v>
      </c>
      <c r="D12" s="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D13"/>
  <sheetViews>
    <sheetView tabSelected="1" workbookViewId="0">
      <selection activeCell="B13" sqref="B13"/>
    </sheetView>
  </sheetViews>
  <sheetFormatPr defaultRowHeight="15" x14ac:dyDescent="0.25"/>
  <cols>
    <col min="1" max="1" width="15.5703125" customWidth="1"/>
  </cols>
  <sheetData>
    <row r="1" spans="1:4" x14ac:dyDescent="0.25">
      <c r="A1" s="7" t="s">
        <v>12</v>
      </c>
    </row>
    <row r="2" spans="1:4" x14ac:dyDescent="0.25">
      <c r="A2" s="7" t="s">
        <v>1</v>
      </c>
    </row>
    <row r="3" spans="1:4" x14ac:dyDescent="0.25">
      <c r="A3" s="9" t="s">
        <v>2</v>
      </c>
      <c r="B3">
        <v>12</v>
      </c>
    </row>
    <row r="4" spans="1:4" x14ac:dyDescent="0.25">
      <c r="A4" s="9" t="s">
        <v>3</v>
      </c>
      <c r="B4">
        <v>0</v>
      </c>
    </row>
    <row r="6" spans="1:4" x14ac:dyDescent="0.25">
      <c r="A6" s="7" t="s">
        <v>4</v>
      </c>
      <c r="B6" s="9">
        <f>0.4*B3+0.5*B4</f>
        <v>4.8000000000000007</v>
      </c>
    </row>
    <row r="8" spans="1:4" x14ac:dyDescent="0.25">
      <c r="A8" s="8" t="s">
        <v>5</v>
      </c>
    </row>
    <row r="9" spans="1:4" x14ac:dyDescent="0.25">
      <c r="A9" s="9" t="s">
        <v>6</v>
      </c>
      <c r="B9" s="9">
        <f>0.3*B3+0.1*B4</f>
        <v>3.5999999999999996</v>
      </c>
      <c r="C9" s="8" t="s">
        <v>13</v>
      </c>
      <c r="D9" s="9">
        <v>27</v>
      </c>
    </row>
    <row r="10" spans="1:4" x14ac:dyDescent="0.25">
      <c r="A10" s="9" t="s">
        <v>8</v>
      </c>
      <c r="B10" s="9">
        <f>0.5*B3+0.5*B4</f>
        <v>6</v>
      </c>
      <c r="C10" s="8" t="s">
        <v>9</v>
      </c>
      <c r="D10" s="9">
        <v>6</v>
      </c>
    </row>
    <row r="11" spans="1:4" x14ac:dyDescent="0.25">
      <c r="A11" s="9" t="s">
        <v>10</v>
      </c>
      <c r="B11" s="9">
        <f>0.6*B3+0.4*B4</f>
        <v>7.1999999999999993</v>
      </c>
      <c r="C11" s="8" t="s">
        <v>7</v>
      </c>
      <c r="D11" s="9">
        <v>6</v>
      </c>
    </row>
    <row r="12" spans="1:4" x14ac:dyDescent="0.25">
      <c r="A12" s="9" t="s">
        <v>11</v>
      </c>
      <c r="B12" s="9">
        <f>B3</f>
        <v>12</v>
      </c>
      <c r="C12" s="8" t="s">
        <v>7</v>
      </c>
      <c r="D12" s="9">
        <v>0</v>
      </c>
    </row>
    <row r="13" spans="1:4" x14ac:dyDescent="0.25">
      <c r="A13" s="9" t="s">
        <v>14</v>
      </c>
      <c r="B13" s="9">
        <f>B4</f>
        <v>0</v>
      </c>
      <c r="C13" s="8" t="s">
        <v>7</v>
      </c>
      <c r="D13" s="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D13"/>
  <sheetViews>
    <sheetView workbookViewId="0"/>
  </sheetViews>
  <sheetFormatPr defaultRowHeight="15" x14ac:dyDescent="0.25"/>
  <cols>
    <col min="1" max="1" width="15.5703125" customWidth="1"/>
  </cols>
  <sheetData>
    <row r="1" spans="1:4" x14ac:dyDescent="0.25">
      <c r="A1" s="10" t="s">
        <v>0</v>
      </c>
    </row>
    <row r="2" spans="1:4" x14ac:dyDescent="0.25">
      <c r="A2" s="10" t="s">
        <v>1</v>
      </c>
    </row>
    <row r="3" spans="1:4" x14ac:dyDescent="0.25">
      <c r="A3" s="12" t="s">
        <v>2</v>
      </c>
      <c r="B3">
        <v>2</v>
      </c>
    </row>
    <row r="4" spans="1:4" x14ac:dyDescent="0.25">
      <c r="A4" s="12" t="s">
        <v>3</v>
      </c>
      <c r="B4">
        <v>6</v>
      </c>
    </row>
    <row r="6" spans="1:4" x14ac:dyDescent="0.25">
      <c r="A6" s="10" t="s">
        <v>4</v>
      </c>
      <c r="B6" s="12">
        <f>3*B3+5*B4</f>
        <v>36</v>
      </c>
    </row>
    <row r="8" spans="1:4" x14ac:dyDescent="0.25">
      <c r="A8" s="11" t="s">
        <v>5</v>
      </c>
    </row>
    <row r="9" spans="1:4" x14ac:dyDescent="0.25">
      <c r="A9" s="12" t="s">
        <v>6</v>
      </c>
      <c r="B9" s="12">
        <f>1*B3</f>
        <v>2</v>
      </c>
      <c r="C9" s="11" t="s">
        <v>13</v>
      </c>
      <c r="D9" s="12">
        <v>4</v>
      </c>
    </row>
    <row r="10" spans="1:4" x14ac:dyDescent="0.25">
      <c r="A10" s="12" t="s">
        <v>8</v>
      </c>
      <c r="B10" s="12">
        <f>2*B4</f>
        <v>12</v>
      </c>
      <c r="C10" s="11" t="s">
        <v>13</v>
      </c>
      <c r="D10" s="12">
        <v>12</v>
      </c>
    </row>
    <row r="11" spans="1:4" x14ac:dyDescent="0.25">
      <c r="A11" s="12" t="s">
        <v>10</v>
      </c>
      <c r="B11" s="12">
        <f>3*B3+2*B4</f>
        <v>18</v>
      </c>
      <c r="C11" s="11" t="s">
        <v>9</v>
      </c>
      <c r="D11" s="12">
        <v>18</v>
      </c>
    </row>
    <row r="12" spans="1:4" x14ac:dyDescent="0.25">
      <c r="A12" s="12" t="s">
        <v>11</v>
      </c>
      <c r="B12" s="12">
        <f>1*B3</f>
        <v>2</v>
      </c>
      <c r="C12" s="11" t="s">
        <v>7</v>
      </c>
      <c r="D12" s="12">
        <v>0</v>
      </c>
    </row>
    <row r="13" spans="1:4" x14ac:dyDescent="0.25">
      <c r="A13" s="12" t="s">
        <v>14</v>
      </c>
      <c r="B13" s="12">
        <f>1*B4</f>
        <v>6</v>
      </c>
      <c r="C13" s="11" t="s">
        <v>7</v>
      </c>
      <c r="D13" s="1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D13"/>
  <sheetViews>
    <sheetView workbookViewId="0">
      <selection activeCell="F17" sqref="F17"/>
    </sheetView>
  </sheetViews>
  <sheetFormatPr defaultRowHeight="15" x14ac:dyDescent="0.25"/>
  <cols>
    <col min="1" max="1" width="15.5703125" customWidth="1"/>
  </cols>
  <sheetData>
    <row r="1" spans="1:4" x14ac:dyDescent="0.25">
      <c r="A1" s="13" t="s">
        <v>0</v>
      </c>
    </row>
    <row r="2" spans="1:4" x14ac:dyDescent="0.25">
      <c r="A2" s="13" t="s">
        <v>1</v>
      </c>
    </row>
    <row r="3" spans="1:4" x14ac:dyDescent="0.25">
      <c r="A3" s="15" t="s">
        <v>2</v>
      </c>
      <c r="B3">
        <v>8</v>
      </c>
    </row>
    <row r="4" spans="1:4" x14ac:dyDescent="0.25">
      <c r="A4" s="15" t="s">
        <v>3</v>
      </c>
      <c r="B4">
        <v>6</v>
      </c>
    </row>
    <row r="6" spans="1:4" x14ac:dyDescent="0.25">
      <c r="A6" s="13" t="s">
        <v>4</v>
      </c>
      <c r="B6" s="15">
        <f>1*B3+3*B4</f>
        <v>26</v>
      </c>
    </row>
    <row r="8" spans="1:4" x14ac:dyDescent="0.25">
      <c r="A8" s="14" t="s">
        <v>5</v>
      </c>
    </row>
    <row r="9" spans="1:4" x14ac:dyDescent="0.25">
      <c r="A9" s="15" t="s">
        <v>6</v>
      </c>
      <c r="B9" s="15">
        <f>3*B3-2*B4</f>
        <v>12</v>
      </c>
      <c r="C9" s="14" t="s">
        <v>7</v>
      </c>
      <c r="D9" s="15">
        <v>10</v>
      </c>
    </row>
    <row r="10" spans="1:4" x14ac:dyDescent="0.25">
      <c r="A10" s="15" t="s">
        <v>8</v>
      </c>
      <c r="B10" s="15">
        <f>2*B3+3*B4</f>
        <v>34</v>
      </c>
      <c r="C10" s="14" t="s">
        <v>9</v>
      </c>
      <c r="D10" s="15">
        <v>34</v>
      </c>
    </row>
    <row r="11" spans="1:4" x14ac:dyDescent="0.25">
      <c r="A11" s="15" t="s">
        <v>10</v>
      </c>
      <c r="B11" s="15">
        <f>4*B3+12*B4</f>
        <v>104</v>
      </c>
      <c r="C11" s="14" t="s">
        <v>13</v>
      </c>
      <c r="D11" s="15">
        <v>104</v>
      </c>
    </row>
    <row r="12" spans="1:4" x14ac:dyDescent="0.25">
      <c r="A12" s="15" t="s">
        <v>11</v>
      </c>
      <c r="B12" s="15">
        <f>1*B3</f>
        <v>8</v>
      </c>
      <c r="C12" s="14" t="s">
        <v>7</v>
      </c>
      <c r="D12" s="15">
        <v>0</v>
      </c>
    </row>
    <row r="13" spans="1:4" x14ac:dyDescent="0.25">
      <c r="A13" s="15" t="s">
        <v>14</v>
      </c>
      <c r="B13" s="15">
        <f>1*B4</f>
        <v>6</v>
      </c>
      <c r="C13" s="14" t="s">
        <v>7</v>
      </c>
      <c r="D13" s="1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Problema1</vt:lpstr>
      <vt:lpstr>Problema2</vt:lpstr>
      <vt:lpstr>Problema3</vt:lpstr>
      <vt:lpstr>Problema4</vt:lpstr>
      <vt:lpstr>Problema5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Ingmar Aguiar</dc:creator>
  <cp:lastModifiedBy>Ingmar Aguiar</cp:lastModifiedBy>
  <dcterms:created xsi:type="dcterms:W3CDTF">2019-04-29T11:14:11Z</dcterms:created>
  <dcterms:modified xsi:type="dcterms:W3CDTF">2019-05-08T19:30:40Z</dcterms:modified>
</cp:coreProperties>
</file>