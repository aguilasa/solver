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ocuments\GitHub\solver\"/>
    </mc:Choice>
  </mc:AlternateContent>
  <xr:revisionPtr revIDLastSave="0" documentId="13_ncr:1_{F5062A79-D26B-4D8B-865A-BE2F4A8D5F33}" xr6:coauthVersionLast="43" xr6:coauthVersionMax="43" xr10:uidLastSave="{00000000-0000-0000-0000-000000000000}"/>
  <bookViews>
    <workbookView xWindow="3930" yWindow="2640" windowWidth="23415" windowHeight="11385" activeTab="1" xr2:uid="{00000000-000D-0000-FFFF-FFFF00000000}"/>
  </bookViews>
  <sheets>
    <sheet name="Problema1" sheetId="5" r:id="rId1"/>
    <sheet name="Problema2" sheetId="6" r:id="rId2"/>
    <sheet name="Problema3" sheetId="7" r:id="rId3"/>
    <sheet name="Problema4" sheetId="8" r:id="rId4"/>
    <sheet name="Problema5" sheetId="9" r:id="rId5"/>
    <sheet name="Problema6" sheetId="10" r:id="rId6"/>
    <sheet name="Problema7" sheetId="11" r:id="rId7"/>
  </sheets>
  <definedNames>
    <definedName name="solver_adj" localSheetId="0" hidden="1">Problema1!$B$3:$B$4</definedName>
    <definedName name="solver_adj" localSheetId="1" hidden="1">Problema2!$B$3:$B$4</definedName>
    <definedName name="solver_eng" localSheetId="0" hidden="1">2</definedName>
    <definedName name="solver_eng" localSheetId="1" hidden="1">2</definedName>
    <definedName name="solver_lhs1" localSheetId="0" hidden="1">Problema1!$B$9</definedName>
    <definedName name="solver_lhs1" localSheetId="1" hidden="1">Problema2!$B$9</definedName>
    <definedName name="solver_lhs2" localSheetId="0" hidden="1">Problema1!$B$10</definedName>
    <definedName name="solver_lhs2" localSheetId="1" hidden="1">Problema2!$B$10</definedName>
    <definedName name="solver_lhs3" localSheetId="0" hidden="1">Problema1!$B$11</definedName>
    <definedName name="solver_lhs3" localSheetId="1" hidden="1">Problema2!$B$11</definedName>
    <definedName name="solver_lhs4" localSheetId="0" hidden="1">Problema1!$B$12</definedName>
    <definedName name="solver_lhs4" localSheetId="1" hidden="1">Problema2!$B$12</definedName>
    <definedName name="solver_neg" localSheetId="0" hidden="1">1</definedName>
    <definedName name="solver_neg" localSheetId="1" hidden="1">1</definedName>
    <definedName name="solver_num" localSheetId="0" hidden="1">4</definedName>
    <definedName name="solver_num" localSheetId="1" hidden="1">4</definedName>
    <definedName name="solver_opt" localSheetId="0" hidden="1">Problema1!$B$6</definedName>
    <definedName name="solver_opt" localSheetId="1" hidden="1">Problema2!$B$6</definedName>
    <definedName name="solver_rel1" localSheetId="0" hidden="1">3</definedName>
    <definedName name="solver_rel1" localSheetId="1" hidden="1">3</definedName>
    <definedName name="solver_rel2" localSheetId="0" hidden="1">2</definedName>
    <definedName name="solver_rel2" localSheetId="1" hidden="1">2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hs1" localSheetId="0" hidden="1">Problema1!$D$9</definedName>
    <definedName name="solver_rhs1" localSheetId="1" hidden="1">Problema2!$D$9</definedName>
    <definedName name="solver_rhs2" localSheetId="0" hidden="1">Problema1!$D$10</definedName>
    <definedName name="solver_rhs2" localSheetId="1" hidden="1">Problema2!$D$10</definedName>
    <definedName name="solver_rhs3" localSheetId="0" hidden="1">Problema1!$D$11</definedName>
    <definedName name="solver_rhs3" localSheetId="1" hidden="1">Problema2!$D$11</definedName>
    <definedName name="solver_rhs4" localSheetId="0" hidden="1">Problema1!$D$12</definedName>
    <definedName name="solver_rhs4" localSheetId="1" hidden="1">Problema2!$D$12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1" l="1"/>
  <c r="B15" i="11"/>
  <c r="B14" i="11"/>
  <c r="B13" i="11"/>
  <c r="B12" i="11"/>
  <c r="B11" i="11"/>
  <c r="B10" i="11"/>
  <c r="B7" i="11"/>
  <c r="B13" i="10"/>
  <c r="B12" i="10"/>
  <c r="B11" i="10"/>
  <c r="B10" i="10"/>
  <c r="B9" i="10"/>
  <c r="B6" i="10"/>
  <c r="B13" i="9"/>
  <c r="B12" i="9"/>
  <c r="B11" i="9"/>
  <c r="B10" i="9"/>
  <c r="B9" i="9"/>
  <c r="B6" i="9"/>
  <c r="B13" i="8"/>
  <c r="B12" i="8"/>
  <c r="B11" i="8"/>
  <c r="B10" i="8"/>
  <c r="B9" i="8"/>
  <c r="B6" i="8"/>
  <c r="B12" i="7"/>
  <c r="B11" i="7"/>
  <c r="B10" i="7"/>
  <c r="B9" i="7"/>
  <c r="B6" i="7"/>
  <c r="B12" i="6"/>
  <c r="B11" i="6"/>
  <c r="B10" i="6"/>
  <c r="B9" i="6"/>
  <c r="B6" i="6"/>
  <c r="B12" i="5"/>
  <c r="B11" i="5"/>
  <c r="B10" i="5"/>
  <c r="B9" i="5"/>
  <c r="B6" i="5"/>
</calcChain>
</file>

<file path=xl/sharedStrings.xml><?xml version="1.0" encoding="utf-8"?>
<sst xmlns="http://schemas.openxmlformats.org/spreadsheetml/2006/main" count="111" uniqueCount="18">
  <si>
    <t>Máximo</t>
  </si>
  <si>
    <t>Variáveis</t>
  </si>
  <si>
    <t>x1</t>
  </si>
  <si>
    <t>x2</t>
  </si>
  <si>
    <t>Função Objetivo</t>
  </si>
  <si>
    <t>Restrições</t>
  </si>
  <si>
    <t>r1</t>
  </si>
  <si>
    <t>&gt;=</t>
  </si>
  <si>
    <t>r2</t>
  </si>
  <si>
    <t>=</t>
  </si>
  <si>
    <t>r3</t>
  </si>
  <si>
    <t>r4</t>
  </si>
  <si>
    <t>Mínimo</t>
  </si>
  <si>
    <t>&lt;=</t>
  </si>
  <si>
    <t>r5</t>
  </si>
  <si>
    <t>x3</t>
  </si>
  <si>
    <t>r6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</si>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</sst>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2.x1 + 7.x2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3.x1 + 2.x2 &gt;= 20</a:t>
          </a:r>
        </a:p>
        <a:p>
          <a:r>
            <a:rPr lang="en-US"/>
            <a:t>Restrição 2: 	</a:t>
          </a:r>
          <a:r>
            <a:rPr lang="en-US" b="1"/>
            <a:t>4.x1 + 4.x2 = 32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2.x1 + 7.x2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3.x1 + 2.x2 &gt;= 20</a:t>
          </a:r>
        </a:p>
        <a:p>
          <a:r>
            <a:rPr lang="en-US"/>
            <a:t>Restrição 2: 	</a:t>
          </a:r>
          <a:r>
            <a:rPr lang="en-US" b="1"/>
            <a:t>8/2.x1 + 8/2.x2 = 32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x1 + 2.x2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5.x1 - 5.x2 &gt;= 10</a:t>
          </a:r>
        </a:p>
        <a:p>
          <a:r>
            <a:rPr lang="en-US"/>
            <a:t>Restrição 2: 	</a:t>
          </a:r>
          <a:r>
            <a:rPr lang="en-US" b="1"/>
            <a:t>3.x1 + x2 &lt;= 12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0,4.x1 + 0,5.x2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0,3.x1 + 0,1.x2 &lt;= 27</a:t>
          </a:r>
        </a:p>
        <a:p>
          <a:r>
            <a:rPr lang="en-US"/>
            <a:t>Restrição 2: 	</a:t>
          </a:r>
          <a:r>
            <a:rPr lang="en-US" b="1"/>
            <a:t>0,5.x1 + 0,5.x2 = 6</a:t>
          </a:r>
        </a:p>
        <a:p>
          <a:r>
            <a:rPr lang="en-US"/>
            <a:t>Restrição 3: 	</a:t>
          </a:r>
          <a:r>
            <a:rPr lang="en-US" b="1"/>
            <a:t>0,6.x1 + 0,4.x2 &gt;= 6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3.x1 + 5.x2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x1 &lt;= 4</a:t>
          </a:r>
        </a:p>
        <a:p>
          <a:r>
            <a:rPr lang="en-US"/>
            <a:t>Restrição 2: 	</a:t>
          </a:r>
          <a:r>
            <a:rPr lang="en-US" b="1"/>
            <a:t>2.x2 &lt;= 12</a:t>
          </a:r>
        </a:p>
        <a:p>
          <a:r>
            <a:rPr lang="en-US"/>
            <a:t>Restrição 3: 	</a:t>
          </a:r>
          <a:r>
            <a:rPr lang="en-US" b="1"/>
            <a:t>3.x1 + 2.x2 = 18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Variável 1: x1</a:t>
          </a:r>
        </a:p>
        <a:p>
          <a:r>
            <a:rPr lang="en-US"/>
            <a:t>	Variável 2: x2</a:t>
          </a:r>
        </a:p>
        <a:p>
          <a:r>
            <a:rPr lang="en-US" b="1"/>
            <a:t>Função Objetivo:	z = x1 + 3.x2</a:t>
          </a:r>
        </a:p>
        <a:p>
          <a:r>
            <a:rPr lang="en-US" b="1"/>
            <a:t>Restrições:</a:t>
          </a:r>
        </a:p>
        <a:p>
          <a:r>
            <a:rPr lang="en-US"/>
            <a:t>Restrição 1: 	</a:t>
          </a:r>
          <a:r>
            <a:rPr lang="en-US" b="1"/>
            <a:t>3.x1 - 2.x2 &gt;= 10</a:t>
          </a:r>
        </a:p>
        <a:p>
          <a:r>
            <a:rPr lang="en-US"/>
            <a:t>Restrição 2: 	</a:t>
          </a:r>
          <a:r>
            <a:rPr lang="en-US" b="1"/>
            <a:t>2.x1 + 3.x2 = 34</a:t>
          </a:r>
        </a:p>
        <a:p>
          <a:r>
            <a:rPr lang="en-US"/>
            <a:t>Restrição 3: 	</a:t>
          </a:r>
          <a:r>
            <a:rPr lang="en-US" b="1"/>
            <a:t>4.x1 + 12.x2 &lt;= 104</a:t>
          </a:r>
        </a:p>
        <a:p>
          <a:r>
            <a:rPr lang="en-US"/>
            <a:t>Não negatividade: </a:t>
          </a:r>
          <a:r>
            <a:rPr lang="en-US" b="1"/>
            <a:t>x1, x2  &gt;= 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38100</xdr:rowOff>
    </xdr:from>
    <xdr:to>
      <xdr:col>18</xdr:col>
      <xdr:colOff>76200</xdr:colOff>
      <xdr:row>11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648575" y="38100"/>
          <a:ext cx="3400425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/>
            <a:t>Variáveis:</a:t>
          </a:r>
          <a:r>
            <a:rPr lang="en-US"/>
            <a:t>	Quantidade de produto A fabricados: x1</a:t>
          </a:r>
        </a:p>
        <a:p>
          <a:r>
            <a:rPr lang="en-US"/>
            <a:t>	Quantidade de produto B fabricados: x2</a:t>
          </a:r>
        </a:p>
        <a:p>
          <a:r>
            <a:rPr lang="en-US"/>
            <a:t>	Quantidade de produto C fabricados: x3</a:t>
          </a:r>
        </a:p>
        <a:p>
          <a:r>
            <a:rPr lang="en-US" b="1"/>
            <a:t>Função Objetivo:</a:t>
          </a:r>
          <a:r>
            <a:rPr lang="en-US"/>
            <a:t> Máximo Lucro </a:t>
          </a:r>
          <a:r>
            <a:rPr lang="en-US" b="1"/>
            <a:t>	L = 445.x1 + 598.x2 + 177.x3</a:t>
          </a:r>
        </a:p>
        <a:p>
          <a:r>
            <a:rPr lang="en-US" b="1"/>
            <a:t>Restrições:</a:t>
          </a:r>
        </a:p>
        <a:p>
          <a:r>
            <a:rPr lang="en-US"/>
            <a:t>Matéria prima: 	</a:t>
          </a:r>
          <a:r>
            <a:rPr lang="en-US" b="1"/>
            <a:t>1,5.x1 + 0,8.x2 + 0,6.x3 &lt;= 480</a:t>
          </a:r>
        </a:p>
        <a:p>
          <a:r>
            <a:rPr lang="en-US"/>
            <a:t>Tempo na fresadeira: 	</a:t>
          </a:r>
          <a:r>
            <a:rPr lang="en-US" b="1"/>
            <a:t>15.x1 + 10.x2 + 5.x3 &lt;= 4800</a:t>
          </a:r>
        </a:p>
        <a:p>
          <a:r>
            <a:rPr lang="en-US"/>
            <a:t>Tempo no torno: 	</a:t>
          </a:r>
          <a:r>
            <a:rPr lang="en-US" b="1"/>
            <a:t>10.x1 + 12.x2 + 4.x3 &lt;= 4000</a:t>
          </a:r>
        </a:p>
        <a:p>
          <a:r>
            <a:rPr lang="en-US"/>
            <a:t>Tempo na retífica: 	</a:t>
          </a:r>
          <a:r>
            <a:rPr lang="en-US" b="1"/>
            <a:t>5.x1 + 8.x2 + 3.x3 &lt;= 3600</a:t>
          </a:r>
        </a:p>
        <a:p>
          <a:r>
            <a:rPr lang="en-US"/>
            <a:t>Não negatividade: </a:t>
          </a:r>
          <a:r>
            <a:rPr lang="en-US" b="1"/>
            <a:t>x1, x2, x3  &gt;= 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" t="s">
        <v>0</v>
      </c>
    </row>
    <row r="2" spans="1:4" x14ac:dyDescent="0.25">
      <c r="A2" s="1" t="s">
        <v>1</v>
      </c>
    </row>
    <row r="3" spans="1:4" x14ac:dyDescent="0.25">
      <c r="A3" s="3" t="s">
        <v>2</v>
      </c>
      <c r="B3">
        <v>3.9999999999999991</v>
      </c>
    </row>
    <row r="4" spans="1:4" x14ac:dyDescent="0.25">
      <c r="A4" s="3" t="s">
        <v>3</v>
      </c>
      <c r="B4">
        <v>4.0000000000000009</v>
      </c>
    </row>
    <row r="6" spans="1:4" x14ac:dyDescent="0.25">
      <c r="A6" s="1" t="s">
        <v>4</v>
      </c>
      <c r="B6" s="3">
        <f>2*B3+7*B4</f>
        <v>36.000000000000007</v>
      </c>
    </row>
    <row r="8" spans="1:4" x14ac:dyDescent="0.25">
      <c r="A8" s="2" t="s">
        <v>5</v>
      </c>
    </row>
    <row r="9" spans="1:4" x14ac:dyDescent="0.25">
      <c r="A9" s="3" t="s">
        <v>6</v>
      </c>
      <c r="B9" s="3">
        <f>3*B3+2*B4</f>
        <v>20</v>
      </c>
      <c r="C9" s="2" t="s">
        <v>7</v>
      </c>
      <c r="D9" s="3">
        <v>20</v>
      </c>
    </row>
    <row r="10" spans="1:4" x14ac:dyDescent="0.25">
      <c r="A10" s="3" t="s">
        <v>8</v>
      </c>
      <c r="B10" s="3">
        <f>4*B3+4*B4</f>
        <v>32</v>
      </c>
      <c r="C10" s="2" t="s">
        <v>9</v>
      </c>
      <c r="D10" s="3">
        <v>32</v>
      </c>
    </row>
    <row r="11" spans="1:4" x14ac:dyDescent="0.25">
      <c r="A11" s="3" t="s">
        <v>10</v>
      </c>
      <c r="B11" s="3">
        <f>1*B3</f>
        <v>3.9999999999999991</v>
      </c>
      <c r="C11" s="2" t="s">
        <v>7</v>
      </c>
      <c r="D11" s="3">
        <v>0</v>
      </c>
    </row>
    <row r="12" spans="1:4" x14ac:dyDescent="0.25">
      <c r="A12" s="3" t="s">
        <v>11</v>
      </c>
      <c r="B12" s="3">
        <f>1*B4</f>
        <v>4.0000000000000009</v>
      </c>
      <c r="C12" s="2" t="s">
        <v>7</v>
      </c>
      <c r="D12" s="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D12"/>
  <sheetViews>
    <sheetView tabSelected="1" workbookViewId="0"/>
  </sheetViews>
  <sheetFormatPr defaultRowHeight="15" x14ac:dyDescent="0.25"/>
  <cols>
    <col min="1" max="1" width="15.5703125" customWidth="1"/>
  </cols>
  <sheetData>
    <row r="1" spans="1:4" x14ac:dyDescent="0.25">
      <c r="A1" s="4" t="s">
        <v>0</v>
      </c>
    </row>
    <row r="2" spans="1:4" x14ac:dyDescent="0.25">
      <c r="A2" s="4" t="s">
        <v>1</v>
      </c>
    </row>
    <row r="3" spans="1:4" x14ac:dyDescent="0.25">
      <c r="A3" s="6" t="s">
        <v>2</v>
      </c>
      <c r="B3">
        <v>3.9999999999999991</v>
      </c>
    </row>
    <row r="4" spans="1:4" x14ac:dyDescent="0.25">
      <c r="A4" s="6" t="s">
        <v>3</v>
      </c>
      <c r="B4">
        <v>4.0000000000000009</v>
      </c>
    </row>
    <row r="6" spans="1:4" x14ac:dyDescent="0.25">
      <c r="A6" s="4" t="s">
        <v>4</v>
      </c>
      <c r="B6" s="6">
        <f>2*B3+7*B4</f>
        <v>36.000000000000007</v>
      </c>
    </row>
    <row r="8" spans="1:4" x14ac:dyDescent="0.25">
      <c r="A8" s="5" t="s">
        <v>5</v>
      </c>
    </row>
    <row r="9" spans="1:4" x14ac:dyDescent="0.25">
      <c r="A9" s="6" t="s">
        <v>6</v>
      </c>
      <c r="B9" s="6">
        <f>3*B3+2*B4</f>
        <v>20</v>
      </c>
      <c r="C9" s="5" t="s">
        <v>7</v>
      </c>
      <c r="D9" s="6">
        <v>20</v>
      </c>
    </row>
    <row r="10" spans="1:4" x14ac:dyDescent="0.25">
      <c r="A10" s="6" t="s">
        <v>8</v>
      </c>
      <c r="B10" s="6">
        <f>8/2*B3+8/2*B4</f>
        <v>32</v>
      </c>
      <c r="C10" s="5" t="s">
        <v>9</v>
      </c>
      <c r="D10" s="6">
        <v>32</v>
      </c>
    </row>
    <row r="11" spans="1:4" x14ac:dyDescent="0.25">
      <c r="A11" s="6" t="s">
        <v>10</v>
      </c>
      <c r="B11" s="6">
        <f>1*B3</f>
        <v>3.9999999999999991</v>
      </c>
      <c r="C11" s="5" t="s">
        <v>7</v>
      </c>
      <c r="D11" s="6">
        <v>0</v>
      </c>
    </row>
    <row r="12" spans="1:4" x14ac:dyDescent="0.25">
      <c r="A12" s="6" t="s">
        <v>11</v>
      </c>
      <c r="B12" s="6">
        <f>1*B4</f>
        <v>4.0000000000000009</v>
      </c>
      <c r="C12" s="5" t="s">
        <v>7</v>
      </c>
      <c r="D12" s="6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7" t="s">
        <v>12</v>
      </c>
    </row>
    <row r="2" spans="1:4" x14ac:dyDescent="0.25">
      <c r="A2" s="7" t="s">
        <v>1</v>
      </c>
    </row>
    <row r="3" spans="1:4" x14ac:dyDescent="0.25">
      <c r="A3" s="9" t="s">
        <v>2</v>
      </c>
    </row>
    <row r="4" spans="1:4" x14ac:dyDescent="0.25">
      <c r="A4" s="9" t="s">
        <v>3</v>
      </c>
    </row>
    <row r="6" spans="1:4" x14ac:dyDescent="0.25">
      <c r="A6" s="7" t="s">
        <v>4</v>
      </c>
      <c r="B6" s="9">
        <f>1*B3+2*B4</f>
        <v>0</v>
      </c>
    </row>
    <row r="8" spans="1:4" x14ac:dyDescent="0.25">
      <c r="A8" s="8" t="s">
        <v>5</v>
      </c>
    </row>
    <row r="9" spans="1:4" x14ac:dyDescent="0.25">
      <c r="A9" s="9" t="s">
        <v>6</v>
      </c>
      <c r="B9" s="9">
        <f>5*B3-5*B4</f>
        <v>0</v>
      </c>
      <c r="C9" s="8" t="s">
        <v>7</v>
      </c>
      <c r="D9" s="9">
        <v>10</v>
      </c>
    </row>
    <row r="10" spans="1:4" x14ac:dyDescent="0.25">
      <c r="A10" s="9" t="s">
        <v>8</v>
      </c>
      <c r="B10" s="9">
        <f>3*B3+1*B4</f>
        <v>0</v>
      </c>
      <c r="C10" s="8" t="s">
        <v>13</v>
      </c>
      <c r="D10" s="9">
        <v>12</v>
      </c>
    </row>
    <row r="11" spans="1:4" x14ac:dyDescent="0.25">
      <c r="A11" s="9" t="s">
        <v>10</v>
      </c>
      <c r="B11" s="9">
        <f>1*B3</f>
        <v>0</v>
      </c>
      <c r="C11" s="8" t="s">
        <v>7</v>
      </c>
      <c r="D11" s="9">
        <v>0</v>
      </c>
    </row>
    <row r="12" spans="1:4" x14ac:dyDescent="0.25">
      <c r="A12" s="9" t="s">
        <v>11</v>
      </c>
      <c r="B12" s="9">
        <f>1*B4</f>
        <v>0</v>
      </c>
      <c r="C12" s="8" t="s">
        <v>7</v>
      </c>
      <c r="D12" s="9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0" t="s">
        <v>12</v>
      </c>
    </row>
    <row r="2" spans="1:4" x14ac:dyDescent="0.25">
      <c r="A2" s="10" t="s">
        <v>1</v>
      </c>
    </row>
    <row r="3" spans="1:4" x14ac:dyDescent="0.25">
      <c r="A3" s="12" t="s">
        <v>2</v>
      </c>
    </row>
    <row r="4" spans="1:4" x14ac:dyDescent="0.25">
      <c r="A4" s="12" t="s">
        <v>3</v>
      </c>
    </row>
    <row r="6" spans="1:4" x14ac:dyDescent="0.25">
      <c r="A6" s="10" t="s">
        <v>4</v>
      </c>
      <c r="B6" s="12">
        <f>0.4*B3+0.5*B4</f>
        <v>0</v>
      </c>
    </row>
    <row r="8" spans="1:4" x14ac:dyDescent="0.25">
      <c r="A8" s="11" t="s">
        <v>5</v>
      </c>
    </row>
    <row r="9" spans="1:4" x14ac:dyDescent="0.25">
      <c r="A9" s="12" t="s">
        <v>6</v>
      </c>
      <c r="B9" s="12">
        <f>0.3*B3+0.1*B4</f>
        <v>0</v>
      </c>
      <c r="C9" s="11" t="s">
        <v>13</v>
      </c>
      <c r="D9" s="12">
        <v>27</v>
      </c>
    </row>
    <row r="10" spans="1:4" x14ac:dyDescent="0.25">
      <c r="A10" s="12" t="s">
        <v>8</v>
      </c>
      <c r="B10" s="12">
        <f>0.5*B3+0.5*B4</f>
        <v>0</v>
      </c>
      <c r="C10" s="11" t="s">
        <v>9</v>
      </c>
      <c r="D10" s="12">
        <v>6</v>
      </c>
    </row>
    <row r="11" spans="1:4" x14ac:dyDescent="0.25">
      <c r="A11" s="12" t="s">
        <v>10</v>
      </c>
      <c r="B11" s="12">
        <f>0.6*B3+0.4*B4</f>
        <v>0</v>
      </c>
      <c r="C11" s="11" t="s">
        <v>7</v>
      </c>
      <c r="D11" s="12">
        <v>6</v>
      </c>
    </row>
    <row r="12" spans="1:4" x14ac:dyDescent="0.25">
      <c r="A12" s="12" t="s">
        <v>11</v>
      </c>
      <c r="B12" s="12">
        <f>1*B3</f>
        <v>0</v>
      </c>
      <c r="C12" s="11" t="s">
        <v>7</v>
      </c>
      <c r="D12" s="12">
        <v>0</v>
      </c>
    </row>
    <row r="13" spans="1:4" x14ac:dyDescent="0.25">
      <c r="A13" s="12" t="s">
        <v>14</v>
      </c>
      <c r="B13" s="12">
        <f>1*B4</f>
        <v>0</v>
      </c>
      <c r="C13" s="11" t="s">
        <v>7</v>
      </c>
      <c r="D13" s="12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3" t="s">
        <v>0</v>
      </c>
    </row>
    <row r="2" spans="1:4" x14ac:dyDescent="0.25">
      <c r="A2" s="13" t="s">
        <v>1</v>
      </c>
    </row>
    <row r="3" spans="1:4" x14ac:dyDescent="0.25">
      <c r="A3" s="15" t="s">
        <v>2</v>
      </c>
    </row>
    <row r="4" spans="1:4" x14ac:dyDescent="0.25">
      <c r="A4" s="15" t="s">
        <v>3</v>
      </c>
    </row>
    <row r="6" spans="1:4" x14ac:dyDescent="0.25">
      <c r="A6" s="13" t="s">
        <v>4</v>
      </c>
      <c r="B6" s="15">
        <f>3*B3+5*B4</f>
        <v>0</v>
      </c>
    </row>
    <row r="8" spans="1:4" x14ac:dyDescent="0.25">
      <c r="A8" s="14" t="s">
        <v>5</v>
      </c>
    </row>
    <row r="9" spans="1:4" x14ac:dyDescent="0.25">
      <c r="A9" s="15" t="s">
        <v>6</v>
      </c>
      <c r="B9" s="15">
        <f>1*B3</f>
        <v>0</v>
      </c>
      <c r="C9" s="14" t="s">
        <v>13</v>
      </c>
      <c r="D9" s="15">
        <v>4</v>
      </c>
    </row>
    <row r="10" spans="1:4" x14ac:dyDescent="0.25">
      <c r="A10" s="15" t="s">
        <v>8</v>
      </c>
      <c r="B10" s="15">
        <f>2*B4</f>
        <v>0</v>
      </c>
      <c r="C10" s="14" t="s">
        <v>13</v>
      </c>
      <c r="D10" s="15">
        <v>12</v>
      </c>
    </row>
    <row r="11" spans="1:4" x14ac:dyDescent="0.25">
      <c r="A11" s="15" t="s">
        <v>10</v>
      </c>
      <c r="B11" s="15">
        <f>3*B3+2*B4</f>
        <v>0</v>
      </c>
      <c r="C11" s="14" t="s">
        <v>9</v>
      </c>
      <c r="D11" s="15">
        <v>18</v>
      </c>
    </row>
    <row r="12" spans="1:4" x14ac:dyDescent="0.25">
      <c r="A12" s="15" t="s">
        <v>11</v>
      </c>
      <c r="B12" s="15">
        <f>1*B3</f>
        <v>0</v>
      </c>
      <c r="C12" s="14" t="s">
        <v>7</v>
      </c>
      <c r="D12" s="15">
        <v>0</v>
      </c>
    </row>
    <row r="13" spans="1:4" x14ac:dyDescent="0.25">
      <c r="A13" s="15" t="s">
        <v>14</v>
      </c>
      <c r="B13" s="15">
        <f>1*B4</f>
        <v>0</v>
      </c>
      <c r="C13" s="14" t="s">
        <v>7</v>
      </c>
      <c r="D13" s="15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6" t="s">
        <v>0</v>
      </c>
    </row>
    <row r="2" spans="1:4" x14ac:dyDescent="0.25">
      <c r="A2" s="16" t="s">
        <v>1</v>
      </c>
    </row>
    <row r="3" spans="1:4" x14ac:dyDescent="0.25">
      <c r="A3" s="18" t="s">
        <v>2</v>
      </c>
    </row>
    <row r="4" spans="1:4" x14ac:dyDescent="0.25">
      <c r="A4" s="18" t="s">
        <v>3</v>
      </c>
    </row>
    <row r="6" spans="1:4" x14ac:dyDescent="0.25">
      <c r="A6" s="16" t="s">
        <v>4</v>
      </c>
      <c r="B6" s="18">
        <f>1*B3+3*B4</f>
        <v>0</v>
      </c>
    </row>
    <row r="8" spans="1:4" x14ac:dyDescent="0.25">
      <c r="A8" s="17" t="s">
        <v>5</v>
      </c>
    </row>
    <row r="9" spans="1:4" x14ac:dyDescent="0.25">
      <c r="A9" s="18" t="s">
        <v>6</v>
      </c>
      <c r="B9" s="18">
        <f>3*B3-2*B4</f>
        <v>0</v>
      </c>
      <c r="C9" s="17" t="s">
        <v>7</v>
      </c>
      <c r="D9" s="18">
        <v>10</v>
      </c>
    </row>
    <row r="10" spans="1:4" x14ac:dyDescent="0.25">
      <c r="A10" s="18" t="s">
        <v>8</v>
      </c>
      <c r="B10" s="18">
        <f>2*B3+3*B4</f>
        <v>0</v>
      </c>
      <c r="C10" s="17" t="s">
        <v>9</v>
      </c>
      <c r="D10" s="18">
        <v>34</v>
      </c>
    </row>
    <row r="11" spans="1:4" x14ac:dyDescent="0.25">
      <c r="A11" s="18" t="s">
        <v>10</v>
      </c>
      <c r="B11" s="18">
        <f>4*B3+12*B4</f>
        <v>0</v>
      </c>
      <c r="C11" s="17" t="s">
        <v>13</v>
      </c>
      <c r="D11" s="18">
        <v>104</v>
      </c>
    </row>
    <row r="12" spans="1:4" x14ac:dyDescent="0.25">
      <c r="A12" s="18" t="s">
        <v>11</v>
      </c>
      <c r="B12" s="18">
        <f>1*B3</f>
        <v>0</v>
      </c>
      <c r="C12" s="17" t="s">
        <v>7</v>
      </c>
      <c r="D12" s="18">
        <v>0</v>
      </c>
    </row>
    <row r="13" spans="1:4" x14ac:dyDescent="0.25">
      <c r="A13" s="18" t="s">
        <v>14</v>
      </c>
      <c r="B13" s="18">
        <f>1*B4</f>
        <v>0</v>
      </c>
      <c r="C13" s="17" t="s">
        <v>7</v>
      </c>
      <c r="D13" s="18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D16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9" t="s">
        <v>0</v>
      </c>
    </row>
    <row r="2" spans="1:4" x14ac:dyDescent="0.25">
      <c r="A2" s="19" t="s">
        <v>1</v>
      </c>
    </row>
    <row r="3" spans="1:4" x14ac:dyDescent="0.25">
      <c r="A3" s="21" t="s">
        <v>2</v>
      </c>
    </row>
    <row r="4" spans="1:4" x14ac:dyDescent="0.25">
      <c r="A4" s="21" t="s">
        <v>3</v>
      </c>
    </row>
    <row r="5" spans="1:4" x14ac:dyDescent="0.25">
      <c r="A5" s="21" t="s">
        <v>15</v>
      </c>
    </row>
    <row r="7" spans="1:4" x14ac:dyDescent="0.25">
      <c r="A7" s="19" t="s">
        <v>4</v>
      </c>
      <c r="B7" s="21">
        <f>445*B3+598*B4+177*B5</f>
        <v>0</v>
      </c>
    </row>
    <row r="9" spans="1:4" x14ac:dyDescent="0.25">
      <c r="A9" s="20" t="s">
        <v>5</v>
      </c>
    </row>
    <row r="10" spans="1:4" x14ac:dyDescent="0.25">
      <c r="A10" s="21" t="s">
        <v>6</v>
      </c>
      <c r="B10" s="21">
        <f>1.5*B3+0.8*B4+0.6*B5</f>
        <v>0</v>
      </c>
      <c r="C10" s="20" t="s">
        <v>13</v>
      </c>
      <c r="D10" s="21">
        <v>480</v>
      </c>
    </row>
    <row r="11" spans="1:4" x14ac:dyDescent="0.25">
      <c r="A11" s="21" t="s">
        <v>8</v>
      </c>
      <c r="B11" s="21">
        <f>15*B3+10*B4+5*B5</f>
        <v>0</v>
      </c>
      <c r="C11" s="20" t="s">
        <v>13</v>
      </c>
      <c r="D11" s="21">
        <v>4800</v>
      </c>
    </row>
    <row r="12" spans="1:4" x14ac:dyDescent="0.25">
      <c r="A12" s="21" t="s">
        <v>10</v>
      </c>
      <c r="B12" s="21">
        <f>10*B3+12*B4+4*B5</f>
        <v>0</v>
      </c>
      <c r="C12" s="20" t="s">
        <v>13</v>
      </c>
      <c r="D12" s="21">
        <v>4000</v>
      </c>
    </row>
    <row r="13" spans="1:4" x14ac:dyDescent="0.25">
      <c r="A13" s="21" t="s">
        <v>11</v>
      </c>
      <c r="B13" s="21">
        <f>5*B3+8*B4+3*B5</f>
        <v>0</v>
      </c>
      <c r="C13" s="20" t="s">
        <v>13</v>
      </c>
      <c r="D13" s="21">
        <v>3600</v>
      </c>
    </row>
    <row r="14" spans="1:4" x14ac:dyDescent="0.25">
      <c r="A14" s="21" t="s">
        <v>14</v>
      </c>
      <c r="B14" s="21">
        <f>1*B3</f>
        <v>0</v>
      </c>
      <c r="C14" s="20" t="s">
        <v>7</v>
      </c>
      <c r="D14" s="21">
        <v>0</v>
      </c>
    </row>
    <row r="15" spans="1:4" x14ac:dyDescent="0.25">
      <c r="A15" s="21" t="s">
        <v>16</v>
      </c>
      <c r="B15" s="21">
        <f>1*B4</f>
        <v>0</v>
      </c>
      <c r="C15" s="20" t="s">
        <v>7</v>
      </c>
      <c r="D15" s="21">
        <v>0</v>
      </c>
    </row>
    <row r="16" spans="1:4" x14ac:dyDescent="0.25">
      <c r="A16" s="21" t="s">
        <v>17</v>
      </c>
      <c r="B16" s="21">
        <f>1*B5</f>
        <v>0</v>
      </c>
      <c r="C16" s="20" t="s">
        <v>7</v>
      </c>
      <c r="D16" s="2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Problema1</vt:lpstr>
      <vt:lpstr>Problema2</vt:lpstr>
      <vt:lpstr>Problema3</vt:lpstr>
      <vt:lpstr>Problema4</vt:lpstr>
      <vt:lpstr>Problema5</vt:lpstr>
      <vt:lpstr>Problema6</vt:lpstr>
      <vt:lpstr>Problema7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2019-05-14T19:18:32Z</dcterms:modified>
</cp:coreProperties>
</file>